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転送\"/>
    </mc:Choice>
  </mc:AlternateContent>
  <bookViews>
    <workbookView xWindow="0" yWindow="0" windowWidth="13455" windowHeight="2010" activeTab="2"/>
  </bookViews>
  <sheets>
    <sheet name="tasks" sheetId="95" r:id="rId1"/>
    <sheet name="TODOテンプレ" sheetId="17" r:id="rId2"/>
    <sheet name="timesheet" sheetId="35" r:id="rId3"/>
  </sheets>
  <definedNames>
    <definedName name="_xlnm._FilterDatabase" localSheetId="0" hidden="1">tasks!$A$3:$AQ$8</definedName>
    <definedName name="_xlnm._FilterDatabase" localSheetId="2" hidden="1">timesheet!$A$8:$AG$8</definedName>
    <definedName name="_xlnm._FilterDatabase" localSheetId="1" hidden="1">TODOテンプレ!$B$1:$F$14</definedName>
  </definedNames>
  <calcPr calcId="171027"/>
</workbook>
</file>

<file path=xl/calcChain.xml><?xml version="1.0" encoding="utf-8"?>
<calcChain xmlns="http://schemas.openxmlformats.org/spreadsheetml/2006/main">
  <c r="AP3" i="95" l="1"/>
  <c r="AO3" i="95"/>
  <c r="AN3" i="95"/>
  <c r="AM3" i="95"/>
  <c r="AL3" i="95"/>
  <c r="AK3" i="95"/>
  <c r="AJ3" i="95"/>
  <c r="AI3" i="95"/>
  <c r="AH3" i="95"/>
  <c r="AG3" i="95"/>
  <c r="AF3" i="95"/>
  <c r="AE3" i="95"/>
  <c r="AD3" i="95"/>
  <c r="AC3" i="95"/>
  <c r="AB3" i="95"/>
  <c r="AA3" i="95"/>
  <c r="Z3" i="95"/>
  <c r="Y3" i="95"/>
  <c r="X3" i="95"/>
  <c r="W3" i="95"/>
  <c r="V3" i="95"/>
  <c r="U3" i="95"/>
  <c r="T3" i="95"/>
  <c r="S3" i="95"/>
  <c r="R3" i="95"/>
  <c r="Q3" i="95"/>
  <c r="P3" i="95"/>
  <c r="O3" i="95"/>
  <c r="N3" i="95"/>
  <c r="L3" i="95"/>
  <c r="M3" i="95"/>
  <c r="AI75" i="35" l="1"/>
  <c r="AH75" i="35"/>
  <c r="AG75" i="35"/>
  <c r="A69" i="35"/>
  <c r="A68" i="35"/>
  <c r="A67" i="35"/>
  <c r="A66" i="35"/>
  <c r="B69" i="35"/>
  <c r="B68" i="35"/>
  <c r="B67" i="35"/>
  <c r="B66" i="35"/>
  <c r="Z70" i="35" l="1"/>
  <c r="R70" i="35"/>
  <c r="J70" i="35"/>
  <c r="AD70" i="35"/>
  <c r="V70" i="35"/>
  <c r="N70" i="35"/>
  <c r="F70" i="35"/>
  <c r="AB70" i="35"/>
  <c r="T70" i="35"/>
  <c r="L70" i="35"/>
  <c r="D70" i="35"/>
  <c r="AA70" i="35"/>
  <c r="S70" i="35"/>
  <c r="K70" i="35"/>
  <c r="C70" i="35"/>
  <c r="Y70" i="35"/>
  <c r="Q70" i="35"/>
  <c r="I70" i="35"/>
  <c r="AF70" i="35"/>
  <c r="X70" i="35"/>
  <c r="P70" i="35"/>
  <c r="H70" i="35"/>
  <c r="AC70" i="35"/>
  <c r="U70" i="35"/>
  <c r="M70" i="35"/>
  <c r="E70" i="35"/>
  <c r="B70" i="35"/>
  <c r="G70" i="35"/>
  <c r="O70" i="35"/>
  <c r="W70" i="35"/>
  <c r="AE70" i="35"/>
  <c r="N71" i="35" l="1"/>
  <c r="N75" i="35" s="1"/>
  <c r="G71" i="35"/>
  <c r="G75" i="35" s="1"/>
  <c r="C71" i="35"/>
  <c r="C75" i="35" s="1"/>
  <c r="Z71" i="35"/>
  <c r="Z75" i="35" s="1"/>
  <c r="O71" i="35"/>
  <c r="O75" i="35" s="1"/>
  <c r="P71" i="35"/>
  <c r="P75" i="35" s="1"/>
  <c r="AE71" i="35"/>
  <c r="AE75" i="35" s="1"/>
  <c r="M71" i="35"/>
  <c r="M75" i="35" s="1"/>
  <c r="K71" i="35"/>
  <c r="K75" i="35" s="1"/>
  <c r="E71" i="35"/>
  <c r="E75" i="35" s="1"/>
  <c r="AB71" i="35"/>
  <c r="AB75" i="35" s="1"/>
  <c r="Y71" i="35"/>
  <c r="Y75" i="35" s="1"/>
  <c r="J71" i="35"/>
  <c r="J75" i="35" s="1"/>
  <c r="AA71" i="35"/>
  <c r="AA75" i="35" s="1"/>
  <c r="R71" i="35"/>
  <c r="R75" i="35" s="1"/>
  <c r="F71" i="35"/>
  <c r="F75" i="35" s="1"/>
  <c r="H71" i="35"/>
  <c r="H75" i="35" s="1"/>
  <c r="AC71" i="35"/>
  <c r="AC75" i="35" s="1"/>
  <c r="B71" i="35"/>
  <c r="B75" i="35" s="1"/>
  <c r="T71" i="35"/>
  <c r="T75" i="35" s="1"/>
  <c r="D71" i="35"/>
  <c r="D75" i="35" s="1"/>
  <c r="U71" i="35"/>
  <c r="U75" i="35" s="1"/>
  <c r="S71" i="35"/>
  <c r="S75" i="35" s="1"/>
  <c r="AF71" i="35"/>
  <c r="AF75" i="35" s="1"/>
  <c r="AD71" i="35"/>
  <c r="AD75" i="35" s="1"/>
  <c r="X71" i="35"/>
  <c r="X75" i="35" s="1"/>
  <c r="V71" i="35"/>
  <c r="V75" i="35" s="1"/>
  <c r="Q71" i="35"/>
  <c r="Q75" i="35" s="1"/>
  <c r="L71" i="35"/>
  <c r="L75" i="35" s="1"/>
  <c r="I71" i="35"/>
  <c r="I75" i="35" s="1"/>
  <c r="W71" i="35"/>
  <c r="W75" i="35" s="1"/>
  <c r="AP1" i="95" l="1"/>
  <c r="AO1" i="95"/>
  <c r="AN1" i="95"/>
  <c r="AM1" i="95"/>
  <c r="AL1" i="95"/>
  <c r="AK1" i="95"/>
  <c r="AJ1" i="95"/>
  <c r="AI1" i="95"/>
  <c r="AH1" i="95"/>
  <c r="AG1" i="95"/>
  <c r="AF1" i="95"/>
  <c r="AE1" i="95"/>
  <c r="AD1" i="95"/>
  <c r="AC1" i="95"/>
  <c r="AB1" i="95"/>
  <c r="AA1" i="95"/>
  <c r="Z1" i="95"/>
  <c r="Y1" i="95"/>
  <c r="X1" i="95"/>
  <c r="W1" i="95"/>
  <c r="V1" i="95"/>
  <c r="U1" i="95"/>
  <c r="T1" i="95"/>
  <c r="S1" i="95"/>
  <c r="R1" i="95"/>
  <c r="Q1" i="95"/>
  <c r="P1" i="95"/>
  <c r="O1" i="95"/>
  <c r="N1" i="95"/>
  <c r="M1" i="95"/>
  <c r="L1" i="95"/>
  <c r="H2" i="95" l="1"/>
  <c r="AQ7" i="95" l="1"/>
  <c r="I7" i="95"/>
  <c r="H7" i="95"/>
  <c r="I2" i="95"/>
  <c r="K8" i="95"/>
  <c r="H1" i="17" l="1"/>
  <c r="G1" i="17" l="1"/>
</calcChain>
</file>

<file path=xl/sharedStrings.xml><?xml version="1.0" encoding="utf-8"?>
<sst xmlns="http://schemas.openxmlformats.org/spreadsheetml/2006/main" count="147" uniqueCount="82">
  <si>
    <t>timesheet分類</t>
    <rPh sb="9" eb="11">
      <t>ブンルイ</t>
    </rPh>
    <phoneticPr fontId="1"/>
  </si>
  <si>
    <t>分類1</t>
    <rPh sb="0" eb="2">
      <t>ブンルイ</t>
    </rPh>
    <phoneticPr fontId="1"/>
  </si>
  <si>
    <t>-</t>
    <phoneticPr fontId="1"/>
  </si>
  <si>
    <t>状況</t>
    <rPh sb="0" eb="2">
      <t>ジョウキョウ</t>
    </rPh>
    <phoneticPr fontId="1"/>
  </si>
  <si>
    <t>MTG</t>
    <phoneticPr fontId="1"/>
  </si>
  <si>
    <t>その他</t>
    <rPh sb="2" eb="3">
      <t>タ</t>
    </rPh>
    <phoneticPr fontId="1"/>
  </si>
  <si>
    <t>公開日</t>
    <rPh sb="0" eb="2">
      <t>コウカイ</t>
    </rPh>
    <rPh sb="2" eb="3">
      <t>ヒ</t>
    </rPh>
    <phoneticPr fontId="1"/>
  </si>
  <si>
    <t>チケット名</t>
    <rPh sb="4" eb="5">
      <t>メイ</t>
    </rPh>
    <phoneticPr fontId="1"/>
  </si>
  <si>
    <t>チケットNo</t>
    <phoneticPr fontId="1"/>
  </si>
  <si>
    <t>repositoy</t>
    <phoneticPr fontId="1"/>
  </si>
  <si>
    <t>commit</t>
    <phoneticPr fontId="1"/>
  </si>
  <si>
    <t>TODO</t>
    <phoneticPr fontId="1"/>
  </si>
  <si>
    <t>依頼</t>
    <rPh sb="0" eb="2">
      <t>イライ</t>
    </rPh>
    <phoneticPr fontId="1"/>
  </si>
  <si>
    <t>期限</t>
    <rPh sb="0" eb="2">
      <t>キゲン</t>
    </rPh>
    <phoneticPr fontId="1"/>
  </si>
  <si>
    <t>甚内さん</t>
    <rPh sb="0" eb="2">
      <t>ジンナイ</t>
    </rPh>
    <phoneticPr fontId="1"/>
  </si>
  <si>
    <t>状況分類</t>
    <rPh sb="0" eb="2">
      <t>ジョウキョウ</t>
    </rPh>
    <rPh sb="2" eb="4">
      <t>ブンルイ</t>
    </rPh>
    <phoneticPr fontId="1"/>
  </si>
  <si>
    <t>進行中</t>
  </si>
  <si>
    <t>document</t>
    <phoneticPr fontId="1"/>
  </si>
  <si>
    <t>○</t>
    <phoneticPr fontId="1"/>
  </si>
  <si>
    <t>仕様確認</t>
    <rPh sb="0" eb="2">
      <t>シヨウ</t>
    </rPh>
    <rPh sb="2" eb="4">
      <t>カクニン</t>
    </rPh>
    <phoneticPr fontId="4"/>
  </si>
  <si>
    <t>branch作成</t>
    <rPh sb="6" eb="8">
      <t>サクセイ</t>
    </rPh>
    <phoneticPr fontId="4"/>
  </si>
  <si>
    <t>実装</t>
    <rPh sb="0" eb="2">
      <t>ジッソウ</t>
    </rPh>
    <phoneticPr fontId="4"/>
  </si>
  <si>
    <t>単体テスト</t>
    <rPh sb="0" eb="2">
      <t>タンタイ</t>
    </rPh>
    <phoneticPr fontId="4"/>
  </si>
  <si>
    <t>tag作成・trunkマージ</t>
    <rPh sb="3" eb="5">
      <t>サクセイ</t>
    </rPh>
    <phoneticPr fontId="4"/>
  </si>
  <si>
    <t>STGテスト依頼</t>
    <rPh sb="6" eb="8">
      <t>イライ</t>
    </rPh>
    <phoneticPr fontId="4"/>
  </si>
  <si>
    <t>デプロイプラン作成</t>
    <rPh sb="7" eb="9">
      <t>サクセイ</t>
    </rPh>
    <phoneticPr fontId="4"/>
  </si>
  <si>
    <t>リリース承認メール</t>
    <rPh sb="4" eb="6">
      <t>ショウニン</t>
    </rPh>
    <phoneticPr fontId="4"/>
  </si>
  <si>
    <t>リリース承認</t>
    <rPh sb="4" eb="6">
      <t>ショウニン</t>
    </rPh>
    <phoneticPr fontId="4"/>
  </si>
  <si>
    <t>STGデプロイ</t>
    <phoneticPr fontId="4"/>
  </si>
  <si>
    <t>自分</t>
    <rPh sb="0" eb="2">
      <t>ジブン</t>
    </rPh>
    <phoneticPr fontId="4"/>
  </si>
  <si>
    <t>テストチーム</t>
    <phoneticPr fontId="4"/>
  </si>
  <si>
    <t>デプロイ担当</t>
    <rPh sb="4" eb="6">
      <t>タントウ</t>
    </rPh>
    <phoneticPr fontId="4"/>
  </si>
  <si>
    <t>TO/FROM</t>
    <phoneticPr fontId="1"/>
  </si>
  <si>
    <t>三木さん</t>
    <rPh sb="0" eb="2">
      <t>ミキ</t>
    </rPh>
    <phoneticPr fontId="4"/>
  </si>
  <si>
    <t>web01リリース</t>
    <phoneticPr fontId="1"/>
  </si>
  <si>
    <t>web01リリース</t>
    <phoneticPr fontId="1"/>
  </si>
  <si>
    <t>web01テスト</t>
    <phoneticPr fontId="1"/>
  </si>
  <si>
    <t>テストチーム</t>
    <phoneticPr fontId="4"/>
  </si>
  <si>
    <t>web02リリース</t>
    <phoneticPr fontId="1"/>
  </si>
  <si>
    <t>web02テストケース回す</t>
    <rPh sb="11" eb="12">
      <t>マワ</t>
    </rPh>
    <phoneticPr fontId="1"/>
  </si>
  <si>
    <t>依頼者</t>
    <rPh sb="0" eb="3">
      <t>イライシャ</t>
    </rPh>
    <phoneticPr fontId="1"/>
  </si>
  <si>
    <t>trunkマージ</t>
    <phoneticPr fontId="1"/>
  </si>
  <si>
    <t>完了メール</t>
    <rPh sb="0" eb="2">
      <t>カンリョウ</t>
    </rPh>
    <phoneticPr fontId="1"/>
  </si>
  <si>
    <t>リリース開始メール</t>
    <rPh sb="4" eb="6">
      <t>カイシ</t>
    </rPh>
    <phoneticPr fontId="1"/>
  </si>
  <si>
    <t>合計工数（時）</t>
    <rPh sb="0" eb="2">
      <t>ゴウケイ</t>
    </rPh>
    <rPh sb="2" eb="4">
      <t>コウスウ</t>
    </rPh>
    <rPh sb="5" eb="6">
      <t>ジ</t>
    </rPh>
    <phoneticPr fontId="1"/>
  </si>
  <si>
    <t>9Aを選択して小計</t>
    <rPh sb="3" eb="5">
      <t>センタク</t>
    </rPh>
    <rPh sb="7" eb="9">
      <t>ショウケイ</t>
    </rPh>
    <phoneticPr fontId="1"/>
  </si>
  <si>
    <t>優先</t>
    <rPh sb="0" eb="2">
      <t>ユウセン</t>
    </rPh>
    <phoneticPr fontId="1"/>
  </si>
  <si>
    <t>STGテスト完了待ち</t>
    <rPh sb="6" eb="8">
      <t>カンリョウ</t>
    </rPh>
    <rPh sb="8" eb="9">
      <t>マ</t>
    </rPh>
    <phoneticPr fontId="4"/>
  </si>
  <si>
    <t>tag</t>
    <phoneticPr fontId="1"/>
  </si>
  <si>
    <t>JIRAチケット割り当て</t>
    <rPh sb="8" eb="9">
      <t>ワ</t>
    </rPh>
    <rPh sb="10" eb="11">
      <t>ア</t>
    </rPh>
    <phoneticPr fontId="1"/>
  </si>
  <si>
    <t>仕様書作成</t>
    <rPh sb="0" eb="2">
      <t>シヨウ</t>
    </rPh>
    <rPh sb="2" eb="3">
      <t>ショ</t>
    </rPh>
    <phoneticPr fontId="1"/>
  </si>
  <si>
    <t>テストケース作成</t>
    <phoneticPr fontId="1"/>
  </si>
  <si>
    <t>仕様書・テストケース承認</t>
    <rPh sb="0" eb="2">
      <t>シヨウ</t>
    </rPh>
    <rPh sb="2" eb="3">
      <t>ショ</t>
    </rPh>
    <rPh sb="10" eb="12">
      <t>ショウニン</t>
    </rPh>
    <phoneticPr fontId="1"/>
  </si>
  <si>
    <t>SUM</t>
    <phoneticPr fontId="1"/>
  </si>
  <si>
    <t>デプロイ依頼</t>
    <rPh sb="4" eb="6">
      <t>イライ</t>
    </rPh>
    <phoneticPr fontId="4"/>
  </si>
  <si>
    <t>総計</t>
  </si>
  <si>
    <t/>
  </si>
  <si>
    <t>ビジネス</t>
    <phoneticPr fontId="4"/>
  </si>
  <si>
    <t>ソースレビュー</t>
    <phoneticPr fontId="1"/>
  </si>
  <si>
    <t>チーム内だれか</t>
    <rPh sb="3" eb="4">
      <t>ナイ</t>
    </rPh>
    <phoneticPr fontId="1"/>
  </si>
  <si>
    <t>09:15</t>
  </si>
  <si>
    <t>11:02</t>
  </si>
  <si>
    <t>11:01</t>
  </si>
  <si>
    <t>10:48</t>
  </si>
  <si>
    <t>10:55</t>
  </si>
  <si>
    <t>10:47</t>
  </si>
  <si>
    <t>D:\kaikeda\development\task\</t>
  </si>
  <si>
    <t>0 集計</t>
  </si>
  <si>
    <t>10:59</t>
  </si>
  <si>
    <t>10:27</t>
  </si>
  <si>
    <t>08:09</t>
  </si>
  <si>
    <t>10:12</t>
  </si>
  <si>
    <t>10:41</t>
  </si>
  <si>
    <t>11:06</t>
  </si>
  <si>
    <t>10:46</t>
  </si>
  <si>
    <t>10:43</t>
  </si>
  <si>
    <t>10:14</t>
  </si>
  <si>
    <t>10:06</t>
  </si>
  <si>
    <t>09:29</t>
  </si>
  <si>
    <t>08:06</t>
  </si>
  <si>
    <t>07:59</t>
  </si>
  <si>
    <t>分類</t>
    <rPh sb="0" eb="2">
      <t>ブンルイ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</si>
</sst>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7" formatCode="0.00_);[Red]\(0.00\)"/>
    <numFmt numFmtId="178" formatCode="m/d;@"/>
    <numFmt numFmtId="179" formatCode="aaa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3">
    <xf numFmtId="0" fontId="0" fillId="0" borderId="0" xfId="0"/>
    <xf numFmtId="0" fontId="0" fillId="4" borderId="1" xfId="0" applyFill="1" applyBorder="1"/>
    <xf numFmtId="0" fontId="3" fillId="4" borderId="1" xfId="0" applyFont="1" applyFill="1" applyBorder="1"/>
    <xf numFmtId="56" fontId="0" fillId="4" borderId="1" xfId="0" applyNumberFormat="1" applyFill="1" applyBorder="1"/>
    <xf numFmtId="0" fontId="0" fillId="5" borderId="1" xfId="0" applyFill="1" applyBorder="1"/>
    <xf numFmtId="56" fontId="0" fillId="0" borderId="2" xfId="0" applyNumberFormat="1" applyBorder="1"/>
    <xf numFmtId="0" fontId="0" fillId="5" borderId="3" xfId="0" applyFill="1" applyBorder="1"/>
    <xf numFmtId="0" fontId="2" fillId="5" borderId="3" xfId="1" applyFill="1" applyBorder="1"/>
    <xf numFmtId="0" fontId="0" fillId="3" borderId="4" xfId="0" applyFill="1" applyBorder="1"/>
    <xf numFmtId="0" fontId="2" fillId="3" borderId="4" xfId="1" applyFill="1" applyBorder="1"/>
    <xf numFmtId="0" fontId="0" fillId="0" borderId="5" xfId="0" applyBorder="1"/>
    <xf numFmtId="0" fontId="0" fillId="0" borderId="6" xfId="0" applyBorder="1"/>
    <xf numFmtId="0" fontId="0" fillId="3" borderId="7" xfId="0" applyFill="1" applyBorder="1"/>
    <xf numFmtId="0" fontId="0" fillId="0" borderId="8" xfId="0" applyBorder="1"/>
    <xf numFmtId="0" fontId="0" fillId="6" borderId="7" xfId="0" applyFill="1" applyBorder="1"/>
    <xf numFmtId="0" fontId="2" fillId="3" borderId="0" xfId="1" applyFill="1"/>
    <xf numFmtId="0" fontId="0" fillId="0" borderId="7" xfId="0" applyFill="1" applyBorder="1"/>
    <xf numFmtId="0" fontId="3" fillId="7" borderId="1" xfId="0" applyFont="1" applyFill="1" applyBorder="1"/>
    <xf numFmtId="0" fontId="0" fillId="0" borderId="1" xfId="0" applyFill="1" applyBorder="1"/>
    <xf numFmtId="0" fontId="0" fillId="0" borderId="0" xfId="0" applyAlignment="1">
      <alignment wrapText="1"/>
    </xf>
    <xf numFmtId="14" fontId="0" fillId="0" borderId="0" xfId="0" applyNumberFormat="1"/>
    <xf numFmtId="0" fontId="0" fillId="2" borderId="4" xfId="0" applyFill="1" applyBorder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3" fillId="4" borderId="1" xfId="0" applyFont="1" applyFill="1" applyBorder="1" applyAlignment="1">
      <alignment wrapText="1"/>
    </xf>
    <xf numFmtId="0" fontId="0" fillId="3" borderId="7" xfId="0" applyFill="1" applyBorder="1" applyAlignment="1">
      <alignment wrapText="1"/>
    </xf>
    <xf numFmtId="0" fontId="3" fillId="4" borderId="1" xfId="0" applyFont="1" applyFill="1" applyBorder="1" applyAlignment="1">
      <alignment horizontal="left" vertical="center"/>
    </xf>
    <xf numFmtId="0" fontId="0" fillId="0" borderId="10" xfId="0" applyFill="1" applyBorder="1"/>
    <xf numFmtId="0" fontId="0" fillId="8" borderId="1" xfId="0" applyFill="1" applyBorder="1"/>
    <xf numFmtId="0" fontId="0" fillId="9" borderId="1" xfId="0" applyFill="1" applyBorder="1"/>
    <xf numFmtId="0" fontId="5" fillId="0" borderId="0" xfId="0" applyFont="1"/>
    <xf numFmtId="0" fontId="0" fillId="0" borderId="4" xfId="0" applyFill="1" applyBorder="1"/>
    <xf numFmtId="0" fontId="0" fillId="0" borderId="0" xfId="0" applyFill="1"/>
    <xf numFmtId="178" fontId="0" fillId="0" borderId="1" xfId="0" applyNumberFormat="1" applyFill="1" applyBorder="1"/>
    <xf numFmtId="177" fontId="3" fillId="0" borderId="1" xfId="0" applyNumberFormat="1" applyFont="1" applyFill="1" applyBorder="1"/>
    <xf numFmtId="0" fontId="0" fillId="0" borderId="3" xfId="0" applyFill="1" applyBorder="1"/>
    <xf numFmtId="0" fontId="0" fillId="0" borderId="9" xfId="0" applyFill="1" applyBorder="1"/>
    <xf numFmtId="0" fontId="2" fillId="4" borderId="4" xfId="1" applyFill="1" applyBorder="1"/>
    <xf numFmtId="0" fontId="3" fillId="4" borderId="1" xfId="0" applyFont="1" applyFill="1" applyBorder="1" applyAlignment="1">
      <alignment horizontal="left" vertical="center"/>
    </xf>
    <xf numFmtId="0" fontId="0" fillId="0" borderId="0" xfId="0" applyProtection="1">
      <protection locked="0"/>
    </xf>
    <xf numFmtId="0" fontId="0" fillId="10" borderId="0" xfId="0" applyFill="1"/>
    <xf numFmtId="56" fontId="0" fillId="10" borderId="1" xfId="0" applyNumberFormat="1" applyFill="1" applyBorder="1"/>
    <xf numFmtId="179" fontId="0" fillId="0" borderId="1" xfId="0" applyNumberFormat="1" applyFill="1" applyBorder="1"/>
  </cellXfs>
  <cellStyles count="2">
    <cellStyle name="ハイパーリンク" xfId="1" builtinId="8"/>
    <cellStyle name="標準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Documents\%5b&#38283;&#30330;%5d\task\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Q8"/>
  <sheetViews>
    <sheetView zoomScale="85" zoomScaleNormal="85" workbookViewId="0">
      <pane xSplit="11" ySplit="3" topLeftCell="AA4" activePane="bottomRight" state="frozen"/>
      <selection pane="topRight" activeCell="L1" sqref="L1"/>
      <selection pane="bottomLeft" activeCell="A4" sqref="A4"/>
      <selection pane="bottomRight" activeCell="AB28" sqref="AB28"/>
    </sheetView>
  </sheetViews>
  <sheetFormatPr defaultRowHeight="13.5" x14ac:dyDescent="0.15"/>
  <cols>
    <col min="1" max="1" width="5.75" bestFit="1" customWidth="1"/>
    <col min="2" max="2" width="10.25" bestFit="1" customWidth="1"/>
    <col min="3" max="3" width="10.125" bestFit="1" customWidth="1"/>
    <col min="4" max="4" width="4.5" hidden="1" customWidth="1"/>
    <col min="5" max="5" width="8.25" hidden="1" customWidth="1"/>
    <col min="6" max="6" width="32.75" hidden="1" customWidth="1"/>
    <col min="7" max="7" width="11.875" bestFit="1" customWidth="1"/>
    <col min="8" max="8" width="10.625" bestFit="1" customWidth="1"/>
    <col min="9" max="9" width="7.375" bestFit="1" customWidth="1"/>
    <col min="10" max="10" width="15.25" bestFit="1" customWidth="1"/>
    <col min="11" max="11" width="86.25" style="19" bestFit="1" customWidth="1"/>
    <col min="12" max="42" width="6.375" style="32" bestFit="1" customWidth="1"/>
    <col min="43" max="43" width="15.125" bestFit="1" customWidth="1"/>
  </cols>
  <sheetData>
    <row r="1" spans="1:43" ht="14.25" thickBot="1" x14ac:dyDescent="0.2">
      <c r="A1" s="2" t="s">
        <v>46</v>
      </c>
      <c r="B1" s="2" t="s">
        <v>6</v>
      </c>
      <c r="C1" s="38" t="s">
        <v>9</v>
      </c>
      <c r="D1" s="38" t="s">
        <v>48</v>
      </c>
      <c r="E1" s="38" t="s">
        <v>10</v>
      </c>
      <c r="F1" s="38" t="s">
        <v>0</v>
      </c>
      <c r="G1" s="2" t="s">
        <v>8</v>
      </c>
      <c r="H1" s="38" t="s">
        <v>17</v>
      </c>
      <c r="I1" s="38" t="s">
        <v>11</v>
      </c>
      <c r="J1" s="2" t="s">
        <v>15</v>
      </c>
      <c r="K1" s="24" t="s">
        <v>7</v>
      </c>
      <c r="L1" s="42">
        <f>WEEKDAY(L2,1)</f>
        <v>6</v>
      </c>
      <c r="M1" s="42">
        <f t="shared" ref="M1:AP1" si="0">WEEKDAY(M2,1)</f>
        <v>7</v>
      </c>
      <c r="N1" s="42">
        <f t="shared" si="0"/>
        <v>1</v>
      </c>
      <c r="O1" s="42">
        <f t="shared" si="0"/>
        <v>2</v>
      </c>
      <c r="P1" s="42">
        <f t="shared" si="0"/>
        <v>3</v>
      </c>
      <c r="Q1" s="42">
        <f t="shared" si="0"/>
        <v>4</v>
      </c>
      <c r="R1" s="42">
        <f t="shared" si="0"/>
        <v>5</v>
      </c>
      <c r="S1" s="42">
        <f t="shared" si="0"/>
        <v>6</v>
      </c>
      <c r="T1" s="42">
        <f t="shared" si="0"/>
        <v>7</v>
      </c>
      <c r="U1" s="42">
        <f t="shared" si="0"/>
        <v>1</v>
      </c>
      <c r="V1" s="42">
        <f t="shared" si="0"/>
        <v>2</v>
      </c>
      <c r="W1" s="42">
        <f t="shared" si="0"/>
        <v>3</v>
      </c>
      <c r="X1" s="42">
        <f t="shared" si="0"/>
        <v>4</v>
      </c>
      <c r="Y1" s="42">
        <f t="shared" si="0"/>
        <v>5</v>
      </c>
      <c r="Z1" s="42">
        <f t="shared" si="0"/>
        <v>6</v>
      </c>
      <c r="AA1" s="42">
        <f t="shared" si="0"/>
        <v>7</v>
      </c>
      <c r="AB1" s="42">
        <f t="shared" si="0"/>
        <v>1</v>
      </c>
      <c r="AC1" s="42">
        <f t="shared" si="0"/>
        <v>2</v>
      </c>
      <c r="AD1" s="42">
        <f t="shared" si="0"/>
        <v>3</v>
      </c>
      <c r="AE1" s="42">
        <f t="shared" si="0"/>
        <v>4</v>
      </c>
      <c r="AF1" s="42">
        <f t="shared" si="0"/>
        <v>5</v>
      </c>
      <c r="AG1" s="42">
        <f t="shared" si="0"/>
        <v>6</v>
      </c>
      <c r="AH1" s="42">
        <f t="shared" si="0"/>
        <v>7</v>
      </c>
      <c r="AI1" s="42">
        <f t="shared" si="0"/>
        <v>1</v>
      </c>
      <c r="AJ1" s="42">
        <f t="shared" si="0"/>
        <v>2</v>
      </c>
      <c r="AK1" s="42">
        <f t="shared" si="0"/>
        <v>3</v>
      </c>
      <c r="AL1" s="42">
        <f t="shared" si="0"/>
        <v>4</v>
      </c>
      <c r="AM1" s="42">
        <f t="shared" si="0"/>
        <v>5</v>
      </c>
      <c r="AN1" s="42">
        <f t="shared" si="0"/>
        <v>6</v>
      </c>
      <c r="AO1" s="42">
        <f t="shared" si="0"/>
        <v>7</v>
      </c>
      <c r="AP1" s="42">
        <f t="shared" si="0"/>
        <v>1</v>
      </c>
      <c r="AQ1" s="29" t="s">
        <v>2</v>
      </c>
    </row>
    <row r="2" spans="1:43" x14ac:dyDescent="0.15">
      <c r="A2" s="2" t="s">
        <v>2</v>
      </c>
      <c r="B2" s="2" t="s">
        <v>2</v>
      </c>
      <c r="C2" s="2"/>
      <c r="D2" s="2"/>
      <c r="E2" s="2"/>
      <c r="F2" s="2" t="s">
        <v>1</v>
      </c>
      <c r="G2" s="1" t="s">
        <v>2</v>
      </c>
      <c r="H2" s="9" t="str">
        <f>HYPERLINK($K$6 &amp; "OTHER", "document")</f>
        <v>document</v>
      </c>
      <c r="I2" s="37" t="str">
        <f>HYPERLINK("#その他TODO!A1", "OTHER")</f>
        <v>OTHER</v>
      </c>
      <c r="J2" s="2"/>
      <c r="K2" s="24" t="s">
        <v>2</v>
      </c>
      <c r="L2" s="33">
        <v>42979</v>
      </c>
      <c r="M2" s="33">
        <v>42980</v>
      </c>
      <c r="N2" s="33">
        <v>42981</v>
      </c>
      <c r="O2" s="33">
        <v>42982</v>
      </c>
      <c r="P2" s="33">
        <v>42983</v>
      </c>
      <c r="Q2" s="33">
        <v>42984</v>
      </c>
      <c r="R2" s="33">
        <v>42985</v>
      </c>
      <c r="S2" s="33">
        <v>42986</v>
      </c>
      <c r="T2" s="33">
        <v>42987</v>
      </c>
      <c r="U2" s="33">
        <v>42988</v>
      </c>
      <c r="V2" s="33">
        <v>42989</v>
      </c>
      <c r="W2" s="33">
        <v>42990</v>
      </c>
      <c r="X2" s="33">
        <v>42991</v>
      </c>
      <c r="Y2" s="33">
        <v>42992</v>
      </c>
      <c r="Z2" s="33">
        <v>42993</v>
      </c>
      <c r="AA2" s="33">
        <v>42994</v>
      </c>
      <c r="AB2" s="33">
        <v>42995</v>
      </c>
      <c r="AC2" s="33">
        <v>42996</v>
      </c>
      <c r="AD2" s="33">
        <v>42997</v>
      </c>
      <c r="AE2" s="33">
        <v>42998</v>
      </c>
      <c r="AF2" s="33">
        <v>42999</v>
      </c>
      <c r="AG2" s="33">
        <v>43000</v>
      </c>
      <c r="AH2" s="33">
        <v>43001</v>
      </c>
      <c r="AI2" s="33">
        <v>43002</v>
      </c>
      <c r="AJ2" s="33">
        <v>43003</v>
      </c>
      <c r="AK2" s="33">
        <v>43004</v>
      </c>
      <c r="AL2" s="33">
        <v>43005</v>
      </c>
      <c r="AM2" s="33">
        <v>43006</v>
      </c>
      <c r="AN2" s="33">
        <v>43007</v>
      </c>
      <c r="AO2" s="33">
        <v>43008</v>
      </c>
      <c r="AP2" s="33">
        <v>43009</v>
      </c>
      <c r="AQ2" s="29" t="s">
        <v>2</v>
      </c>
    </row>
    <row r="3" spans="1:43" x14ac:dyDescent="0.15">
      <c r="A3" s="2" t="s">
        <v>2</v>
      </c>
      <c r="B3" s="2" t="s">
        <v>2</v>
      </c>
      <c r="C3" s="2"/>
      <c r="D3" s="2"/>
      <c r="E3" s="2"/>
      <c r="F3" s="2" t="s">
        <v>2</v>
      </c>
      <c r="G3" s="2" t="s">
        <v>2</v>
      </c>
      <c r="H3" s="1" t="s">
        <v>2</v>
      </c>
      <c r="I3" s="2"/>
      <c r="J3" s="2"/>
      <c r="K3" s="24" t="s">
        <v>2</v>
      </c>
      <c r="L3" s="34">
        <f>SUM(L4:L8)</f>
        <v>1</v>
      </c>
      <c r="M3" s="34">
        <f>SUM(M4:M8)</f>
        <v>1</v>
      </c>
      <c r="N3" s="34">
        <f>SUM(N4:N8)</f>
        <v>1</v>
      </c>
      <c r="O3" s="34">
        <f>SUM(O4:O8)</f>
        <v>0</v>
      </c>
      <c r="P3" s="34">
        <f>SUM(P4:P8)</f>
        <v>0</v>
      </c>
      <c r="Q3" s="34">
        <f>SUM(Q4:Q8)</f>
        <v>0</v>
      </c>
      <c r="R3" s="34">
        <f>SUM(R4:R8)</f>
        <v>0</v>
      </c>
      <c r="S3" s="34">
        <f>SUM(S4:S8)</f>
        <v>1</v>
      </c>
      <c r="T3" s="34">
        <f>SUM(T4:T8)</f>
        <v>0</v>
      </c>
      <c r="U3" s="34">
        <f>SUM(U4:U8)</f>
        <v>0</v>
      </c>
      <c r="V3" s="34">
        <f>SUM(V4:V8)</f>
        <v>0</v>
      </c>
      <c r="W3" s="34">
        <f>SUM(W4:W8)</f>
        <v>0</v>
      </c>
      <c r="X3" s="34">
        <f>SUM(X4:X8)</f>
        <v>0</v>
      </c>
      <c r="Y3" s="34">
        <f>SUM(Y4:Y8)</f>
        <v>0</v>
      </c>
      <c r="Z3" s="34">
        <f>SUM(Z4:Z8)</f>
        <v>0</v>
      </c>
      <c r="AA3" s="34">
        <f>SUM(AA4:AA8)</f>
        <v>0</v>
      </c>
      <c r="AB3" s="34">
        <f>SUM(AB4:AB8)</f>
        <v>0</v>
      </c>
      <c r="AC3" s="34">
        <f>SUM(AC4:AC8)</f>
        <v>0</v>
      </c>
      <c r="AD3" s="34">
        <f>SUM(AD4:AD8)</f>
        <v>0</v>
      </c>
      <c r="AE3" s="34">
        <f>SUM(AE4:AE8)</f>
        <v>0</v>
      </c>
      <c r="AF3" s="34">
        <f>SUM(AF4:AF8)</f>
        <v>0</v>
      </c>
      <c r="AG3" s="34">
        <f>SUM(AG4:AG8)</f>
        <v>0</v>
      </c>
      <c r="AH3" s="34">
        <f>SUM(AH4:AH8)</f>
        <v>0</v>
      </c>
      <c r="AI3" s="34">
        <f>SUM(AI4:AI8)</f>
        <v>0</v>
      </c>
      <c r="AJ3" s="34">
        <f>SUM(AJ4:AJ8)</f>
        <v>0</v>
      </c>
      <c r="AK3" s="34">
        <f>SUM(AK4:AK8)</f>
        <v>0</v>
      </c>
      <c r="AL3" s="34">
        <f>SUM(AL4:AL8)</f>
        <v>0</v>
      </c>
      <c r="AM3" s="34">
        <f>SUM(AM4:AM8)</f>
        <v>0</v>
      </c>
      <c r="AN3" s="34">
        <f>SUM(AN4:AN8)</f>
        <v>0</v>
      </c>
      <c r="AO3" s="34">
        <f>SUM(AO4:AO8)</f>
        <v>0</v>
      </c>
      <c r="AP3" s="34">
        <f>SUM(AP4:AP8)</f>
        <v>2</v>
      </c>
      <c r="AQ3" s="29" t="s">
        <v>44</v>
      </c>
    </row>
    <row r="4" spans="1:43" x14ac:dyDescent="0.15">
      <c r="A4" s="4" t="s">
        <v>2</v>
      </c>
      <c r="B4" s="4" t="s">
        <v>2</v>
      </c>
      <c r="C4" s="4" t="s">
        <v>2</v>
      </c>
      <c r="D4" s="4"/>
      <c r="E4" s="4"/>
      <c r="F4" s="4"/>
      <c r="G4" s="4" t="s">
        <v>2</v>
      </c>
      <c r="H4" s="4" t="s">
        <v>2</v>
      </c>
      <c r="I4" s="4" t="s">
        <v>2</v>
      </c>
      <c r="J4" s="4" t="s">
        <v>2</v>
      </c>
      <c r="K4" s="4" t="s">
        <v>4</v>
      </c>
      <c r="L4" s="18">
        <v>1</v>
      </c>
      <c r="M4" s="18">
        <v>1</v>
      </c>
      <c r="N4" s="18">
        <v>1</v>
      </c>
      <c r="O4" s="18"/>
      <c r="P4" s="18"/>
      <c r="Q4" s="18"/>
      <c r="R4" s="18"/>
      <c r="S4" s="18">
        <v>1</v>
      </c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>
        <v>2</v>
      </c>
      <c r="AQ4" s="4"/>
    </row>
    <row r="5" spans="1:43" x14ac:dyDescent="0.15">
      <c r="A5" s="4" t="s">
        <v>2</v>
      </c>
      <c r="B5" s="4" t="s">
        <v>2</v>
      </c>
      <c r="C5" s="4" t="s">
        <v>2</v>
      </c>
      <c r="D5" s="4"/>
      <c r="E5" s="4"/>
      <c r="F5" s="4"/>
      <c r="G5" s="4" t="s">
        <v>2</v>
      </c>
      <c r="H5" s="4" t="s">
        <v>2</v>
      </c>
      <c r="I5" s="4" t="s">
        <v>2</v>
      </c>
      <c r="J5" s="4" t="s">
        <v>2</v>
      </c>
      <c r="K5" s="4" t="s">
        <v>5</v>
      </c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4"/>
    </row>
    <row r="6" spans="1:43" ht="14.25" thickBot="1" x14ac:dyDescent="0.2">
      <c r="A6" s="4" t="s">
        <v>2</v>
      </c>
      <c r="B6" s="4" t="s">
        <v>2</v>
      </c>
      <c r="C6" s="4" t="s">
        <v>2</v>
      </c>
      <c r="D6" s="6"/>
      <c r="E6" s="6"/>
      <c r="F6" s="6"/>
      <c r="G6" s="4" t="s">
        <v>2</v>
      </c>
      <c r="H6" s="4" t="s">
        <v>2</v>
      </c>
      <c r="I6" s="4" t="s">
        <v>2</v>
      </c>
      <c r="J6" s="4" t="s">
        <v>2</v>
      </c>
      <c r="K6" s="7" t="s">
        <v>66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4"/>
    </row>
    <row r="7" spans="1:43" s="10" customFormat="1" ht="14.25" thickBot="1" x14ac:dyDescent="0.2">
      <c r="A7" s="5" t="s">
        <v>2</v>
      </c>
      <c r="B7" s="5"/>
      <c r="C7" s="8"/>
      <c r="D7" s="8"/>
      <c r="E7" s="8"/>
      <c r="F7" s="8"/>
      <c r="G7" s="15"/>
      <c r="H7" s="9" t="str">
        <f>HYPERLINK($K$6 &amp; SUBSTITUTE($G7,"-","\"), "document")</f>
        <v>document</v>
      </c>
      <c r="I7" s="9" t="str">
        <f>HYPERLINK("#" &amp; SUBSTITUTE($G7,"-","") &amp; "!A1", "TODO")</f>
        <v>TODO</v>
      </c>
      <c r="J7" s="12" t="s">
        <v>16</v>
      </c>
      <c r="K7" s="2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6"/>
      <c r="AQ7" s="28">
        <f>SUM(L7:AP7)</f>
        <v>0</v>
      </c>
    </row>
    <row r="8" spans="1:43" s="13" customFormat="1" ht="14.25" thickBot="1" x14ac:dyDescent="0.2">
      <c r="A8" s="5" t="s">
        <v>2</v>
      </c>
      <c r="B8" s="11"/>
      <c r="C8" s="8"/>
      <c r="D8" s="14"/>
      <c r="E8" s="14"/>
      <c r="F8" s="12"/>
      <c r="G8" s="15"/>
      <c r="H8" s="12"/>
      <c r="I8" s="12"/>
      <c r="J8" s="12" t="s">
        <v>16</v>
      </c>
      <c r="K8" s="25" t="e">
        <f ca="1">INDIRECT(SUBSTITUTE($G7,"-","") &amp; "!G1")</f>
        <v>#REF!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27"/>
      <c r="AQ8" s="28"/>
    </row>
  </sheetData>
  <autoFilter ref="A3:AQ8">
    <sortState ref="A4:AQ8">
      <sortCondition ref="A3:A8"/>
    </sortState>
  </autoFilter>
  <phoneticPr fontId="1"/>
  <conditionalFormatting sqref="C2:F2 J2:AP2">
    <cfRule type="timePeriod" dxfId="34" priority="3691" timePeriod="today">
      <formula>FLOOR(C2,1)=TODAY()</formula>
    </cfRule>
  </conditionalFormatting>
  <conditionalFormatting sqref="H3">
    <cfRule type="timePeriod" dxfId="33" priority="3690" timePeriod="today">
      <formula>FLOOR(H3,1)=TODAY()</formula>
    </cfRule>
  </conditionalFormatting>
  <conditionalFormatting sqref="B1">
    <cfRule type="timePeriod" dxfId="32" priority="3689" timePeriod="today">
      <formula>FLOOR(B1,1)=TODAY()</formula>
    </cfRule>
  </conditionalFormatting>
  <conditionalFormatting sqref="A1">
    <cfRule type="timePeriod" dxfId="31" priority="3688" timePeriod="today">
      <formula>FLOOR(A1,1)=TODAY()</formula>
    </cfRule>
  </conditionalFormatting>
  <conditionalFormatting sqref="C1:C3 C7:C1048576">
    <cfRule type="cellIs" dxfId="30" priority="3683" operator="equal">
      <formula>"PMBU"</formula>
    </cfRule>
    <cfRule type="cellIs" dxfId="29" priority="3684" operator="equal">
      <formula>"Admin2"</formula>
    </cfRule>
    <cfRule type="cellIs" dxfId="28" priority="3685" operator="equal">
      <formula>"DB"</formula>
    </cfRule>
    <cfRule type="cellIs" dxfId="27" priority="3686" operator="equal">
      <formula>"PTN"</formula>
    </cfRule>
    <cfRule type="cellIs" dxfId="26" priority="3687" operator="equal">
      <formula>"EC"</formula>
    </cfRule>
  </conditionalFormatting>
  <conditionalFormatting sqref="J1:J3 J7:J1048576">
    <cfRule type="cellIs" dxfId="25" priority="3678" operator="equal">
      <formula>"担当外化"</formula>
    </cfRule>
    <cfRule type="cellIs" dxfId="24" priority="3679" operator="equal">
      <formula>"人待ち"</formula>
    </cfRule>
    <cfRule type="cellIs" dxfId="23" priority="3680" operator="equal">
      <formula>"壁"</formula>
    </cfRule>
    <cfRule type="cellIs" dxfId="22" priority="3681" operator="equal">
      <formula>"実行日待機"</formula>
    </cfRule>
    <cfRule type="cellIs" dxfId="21" priority="3682" operator="equal">
      <formula>"返答待ち"</formula>
    </cfRule>
  </conditionalFormatting>
  <conditionalFormatting sqref="J1:J3 J7:J1048576">
    <cfRule type="cellIs" dxfId="20" priority="3676" operator="equal">
      <formula>"完了"</formula>
    </cfRule>
    <cfRule type="cellIs" dxfId="19" priority="3677" operator="equal">
      <formula>"担当外化（完了）"</formula>
    </cfRule>
  </conditionalFormatting>
  <conditionalFormatting sqref="A1:A1048576">
    <cfRule type="cellIs" dxfId="18" priority="3550" operator="equal">
      <formula>"低"</formula>
    </cfRule>
    <cfRule type="cellIs" dxfId="17" priority="3551" operator="equal">
      <formula>"中"</formula>
    </cfRule>
    <cfRule type="cellIs" dxfId="16" priority="3552" operator="equal">
      <formula>"高"</formula>
    </cfRule>
  </conditionalFormatting>
  <conditionalFormatting sqref="G2">
    <cfRule type="timePeriod" dxfId="15" priority="3358" timePeriod="today">
      <formula>FLOOR(G2,1)=TODAY()</formula>
    </cfRule>
  </conditionalFormatting>
  <conditionalFormatting sqref="L1:L2 L4:L5 M2:AP2 L7:L1048576">
    <cfRule type="containsText" dxfId="14" priority="2055" operator="containsText" text="土,日">
      <formula>NOT(ISERROR(SEARCH("土,日",L1)))</formula>
    </cfRule>
  </conditionalFormatting>
  <conditionalFormatting sqref="L1:AP1">
    <cfRule type="containsText" dxfId="13" priority="2053" operator="containsText" text="土">
      <formula>NOT(ISERROR(SEARCH("土",L1)))</formula>
    </cfRule>
    <cfRule type="cellIs" dxfId="12" priority="2054" operator="equal">
      <formula>"土"</formula>
    </cfRule>
  </conditionalFormatting>
  <conditionalFormatting sqref="L1">
    <cfRule type="expression" dxfId="11" priority="2047">
      <formula>TEXT(L1,"aaa")="土"</formula>
    </cfRule>
    <cfRule type="expression" dxfId="10" priority="2052">
      <formula>TEXT(L1,"aaa")="日"</formula>
    </cfRule>
  </conditionalFormatting>
  <conditionalFormatting sqref="M1">
    <cfRule type="containsText" dxfId="9" priority="2051" operator="containsText" text="土,日">
      <formula>NOT(ISERROR(SEARCH("土,日",M1)))</formula>
    </cfRule>
  </conditionalFormatting>
  <conditionalFormatting sqref="M1">
    <cfRule type="expression" dxfId="8" priority="2050">
      <formula>TEXT(M1,"aaa")="日"</formula>
    </cfRule>
  </conditionalFormatting>
  <conditionalFormatting sqref="M1:AP1">
    <cfRule type="containsText" dxfId="7" priority="2049" operator="containsText" text="土,日">
      <formula>NOT(ISERROR(SEARCH("土,日",M1)))</formula>
    </cfRule>
  </conditionalFormatting>
  <conditionalFormatting sqref="M1:AP1">
    <cfRule type="expression" dxfId="6" priority="2048">
      <formula>TEXT(M1,"aaa")="日"</formula>
    </cfRule>
  </conditionalFormatting>
  <conditionalFormatting sqref="M1:AP1">
    <cfRule type="containsText" dxfId="5" priority="2046" operator="containsText" text="土,日">
      <formula>NOT(ISERROR(SEARCH("土,日",M1)))</formula>
    </cfRule>
  </conditionalFormatting>
  <conditionalFormatting sqref="M1:AP1">
    <cfRule type="expression" dxfId="4" priority="2044">
      <formula>TEXT(M1,"aaa")="土"</formula>
    </cfRule>
    <cfRule type="expression" dxfId="3" priority="2045">
      <formula>TEXT(M1,"aaa")="日"</formula>
    </cfRule>
  </conditionalFormatting>
  <conditionalFormatting sqref="M4">
    <cfRule type="containsText" dxfId="2" priority="466" operator="containsText" text="土,日">
      <formula>NOT(ISERROR(SEARCH("土,日",M4)))</formula>
    </cfRule>
  </conditionalFormatting>
  <dataValidations count="2">
    <dataValidation type="list" allowBlank="1" showInputMessage="1" showErrorMessage="1" sqref="J7:J8">
      <formula1>"進行中,壁,人待ち,返答待ち,実行日待機,完了,担当外化,担当外化（完了）"</formula1>
    </dataValidation>
    <dataValidation type="list" allowBlank="1" showInputMessage="1" showErrorMessage="1" sqref="A7:A8">
      <formula1>"高,中,低"</formula1>
    </dataValidation>
  </dataValidations>
  <hyperlinks>
    <hyperlink ref="K6" r:id="rId1" display="C:\Users\kaikeda.VALUECOMMERCE\Documents\[開発]\task\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8"/>
  <sheetViews>
    <sheetView workbookViewId="0">
      <selection activeCell="F37" sqref="F37"/>
    </sheetView>
  </sheetViews>
  <sheetFormatPr defaultRowHeight="13.5" x14ac:dyDescent="0.15"/>
  <cols>
    <col min="1" max="1" width="5.125" bestFit="1" customWidth="1"/>
    <col min="2" max="2" width="10.5" bestFit="1" customWidth="1"/>
    <col min="3" max="4" width="5.75" bestFit="1" customWidth="1"/>
    <col min="5" max="5" width="11.5" bestFit="1" customWidth="1"/>
    <col min="6" max="6" width="91.75" bestFit="1" customWidth="1"/>
    <col min="7" max="7" width="91.75" hidden="1" customWidth="1"/>
  </cols>
  <sheetData>
    <row r="1" spans="1:8" x14ac:dyDescent="0.15">
      <c r="B1" s="17" t="s">
        <v>13</v>
      </c>
      <c r="C1" s="17" t="s">
        <v>3</v>
      </c>
      <c r="D1" s="17" t="s">
        <v>12</v>
      </c>
      <c r="E1" s="17" t="s">
        <v>32</v>
      </c>
      <c r="F1" s="17" t="s">
        <v>11</v>
      </c>
      <c r="G1" t="str">
        <f>VLOOKUP("○",A2:F102,6,FALSE)</f>
        <v>仕様確認</v>
      </c>
      <c r="H1" s="9" t="str">
        <f>HYPERLINK("#tasks!A1", "TOP")</f>
        <v>TOP</v>
      </c>
    </row>
    <row r="2" spans="1:8" x14ac:dyDescent="0.15">
      <c r="A2" t="s">
        <v>18</v>
      </c>
      <c r="B2" s="20"/>
      <c r="E2" t="s">
        <v>40</v>
      </c>
      <c r="F2" s="23" t="s">
        <v>19</v>
      </c>
    </row>
    <row r="3" spans="1:8" x14ac:dyDescent="0.15">
      <c r="E3" s="22" t="s">
        <v>29</v>
      </c>
      <c r="F3" s="23" t="s">
        <v>20</v>
      </c>
    </row>
    <row r="4" spans="1:8" x14ac:dyDescent="0.15">
      <c r="E4" s="22" t="s">
        <v>29</v>
      </c>
      <c r="F4" s="23" t="s">
        <v>50</v>
      </c>
    </row>
    <row r="5" spans="1:8" x14ac:dyDescent="0.15">
      <c r="E5" s="22" t="s">
        <v>29</v>
      </c>
      <c r="F5" s="23" t="s">
        <v>51</v>
      </c>
    </row>
    <row r="6" spans="1:8" x14ac:dyDescent="0.15">
      <c r="E6" s="22" t="s">
        <v>14</v>
      </c>
      <c r="F6" s="23" t="s">
        <v>52</v>
      </c>
    </row>
    <row r="7" spans="1:8" x14ac:dyDescent="0.15">
      <c r="E7" s="22" t="s">
        <v>29</v>
      </c>
      <c r="F7" s="23" t="s">
        <v>21</v>
      </c>
    </row>
    <row r="8" spans="1:8" x14ac:dyDescent="0.15">
      <c r="E8" s="22" t="s">
        <v>29</v>
      </c>
      <c r="F8" s="23" t="s">
        <v>22</v>
      </c>
    </row>
    <row r="9" spans="1:8" x14ac:dyDescent="0.15">
      <c r="E9" s="22" t="s">
        <v>29</v>
      </c>
      <c r="F9" s="23" t="s">
        <v>23</v>
      </c>
    </row>
    <row r="10" spans="1:8" x14ac:dyDescent="0.15">
      <c r="E10" s="22" t="s">
        <v>59</v>
      </c>
      <c r="F10" s="23" t="s">
        <v>58</v>
      </c>
    </row>
    <row r="11" spans="1:8" x14ac:dyDescent="0.15">
      <c r="E11" s="22" t="s">
        <v>29</v>
      </c>
      <c r="F11" s="23" t="s">
        <v>28</v>
      </c>
    </row>
    <row r="12" spans="1:8" x14ac:dyDescent="0.15">
      <c r="E12" s="22" t="s">
        <v>30</v>
      </c>
      <c r="F12" s="23" t="s">
        <v>24</v>
      </c>
    </row>
    <row r="13" spans="1:8" x14ac:dyDescent="0.15">
      <c r="E13" s="22" t="s">
        <v>30</v>
      </c>
      <c r="F13" s="23" t="s">
        <v>47</v>
      </c>
    </row>
    <row r="14" spans="1:8" x14ac:dyDescent="0.15">
      <c r="B14" s="20"/>
      <c r="E14" s="22" t="s">
        <v>29</v>
      </c>
      <c r="F14" s="23" t="s">
        <v>25</v>
      </c>
    </row>
    <row r="15" spans="1:8" x14ac:dyDescent="0.15">
      <c r="B15" s="20"/>
      <c r="E15" s="22" t="s">
        <v>29</v>
      </c>
      <c r="F15" s="23" t="s">
        <v>54</v>
      </c>
    </row>
    <row r="16" spans="1:8" x14ac:dyDescent="0.15">
      <c r="E16" s="22" t="s">
        <v>33</v>
      </c>
      <c r="F16" s="23" t="s">
        <v>26</v>
      </c>
    </row>
    <row r="17" spans="5:6" x14ac:dyDescent="0.15">
      <c r="E17" s="22" t="s">
        <v>33</v>
      </c>
      <c r="F17" s="23" t="s">
        <v>27</v>
      </c>
    </row>
    <row r="18" spans="5:6" x14ac:dyDescent="0.15">
      <c r="E18" s="22" t="s">
        <v>57</v>
      </c>
      <c r="F18" s="23" t="s">
        <v>26</v>
      </c>
    </row>
    <row r="19" spans="5:6" x14ac:dyDescent="0.15">
      <c r="E19" s="22" t="s">
        <v>57</v>
      </c>
      <c r="F19" s="23" t="s">
        <v>27</v>
      </c>
    </row>
    <row r="20" spans="5:6" x14ac:dyDescent="0.15">
      <c r="E20" s="22" t="s">
        <v>29</v>
      </c>
      <c r="F20" s="23" t="s">
        <v>43</v>
      </c>
    </row>
    <row r="21" spans="5:6" x14ac:dyDescent="0.15">
      <c r="E21" s="22" t="s">
        <v>29</v>
      </c>
      <c r="F21" s="23" t="s">
        <v>41</v>
      </c>
    </row>
    <row r="22" spans="5:6" x14ac:dyDescent="0.15">
      <c r="E22" s="22" t="s">
        <v>29</v>
      </c>
      <c r="F22" s="23" t="s">
        <v>35</v>
      </c>
    </row>
    <row r="23" spans="5:6" x14ac:dyDescent="0.15">
      <c r="E23" s="22" t="s">
        <v>31</v>
      </c>
      <c r="F23" s="23" t="s">
        <v>34</v>
      </c>
    </row>
    <row r="24" spans="5:6" x14ac:dyDescent="0.15">
      <c r="E24" s="22" t="s">
        <v>37</v>
      </c>
      <c r="F24" s="23" t="s">
        <v>36</v>
      </c>
    </row>
    <row r="25" spans="5:6" x14ac:dyDescent="0.15">
      <c r="E25" s="22" t="s">
        <v>29</v>
      </c>
      <c r="F25" s="23" t="s">
        <v>38</v>
      </c>
    </row>
    <row r="26" spans="5:6" x14ac:dyDescent="0.15">
      <c r="E26" s="22" t="s">
        <v>29</v>
      </c>
      <c r="F26" s="23" t="s">
        <v>39</v>
      </c>
    </row>
    <row r="27" spans="5:6" x14ac:dyDescent="0.15">
      <c r="E27" s="22" t="s">
        <v>29</v>
      </c>
      <c r="F27" s="23" t="s">
        <v>42</v>
      </c>
    </row>
    <row r="28" spans="5:6" x14ac:dyDescent="0.15">
      <c r="E28" s="22" t="s">
        <v>29</v>
      </c>
      <c r="F28" s="23" t="s">
        <v>49</v>
      </c>
    </row>
  </sheetData>
  <autoFilter ref="B1:F14"/>
  <phoneticPr fontId="1"/>
  <conditionalFormatting sqref="C1">
    <cfRule type="cellIs" dxfId="1" priority="1" operator="equal">
      <formula>"済"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I75"/>
  <sheetViews>
    <sheetView tabSelected="1" topLeftCell="A7" zoomScale="85" zoomScaleNormal="85" workbookViewId="0">
      <pane xSplit="1" ySplit="2" topLeftCell="B9" activePane="bottomRight" state="frozen"/>
      <selection activeCell="A7" sqref="A7"/>
      <selection pane="topRight" activeCell="B7" sqref="B7"/>
      <selection pane="bottomLeft" activeCell="A21" sqref="A21"/>
      <selection pane="bottomRight" activeCell="H24" sqref="H24"/>
    </sheetView>
  </sheetViews>
  <sheetFormatPr defaultRowHeight="13.5" outlineLevelRow="2" x14ac:dyDescent="0.15"/>
  <cols>
    <col min="1" max="1" width="16.375" bestFit="1" customWidth="1"/>
    <col min="2" max="2" width="7.25" bestFit="1" customWidth="1"/>
    <col min="16" max="17" width="9" style="40"/>
    <col min="23" max="24" width="9" style="40"/>
  </cols>
  <sheetData>
    <row r="1" spans="1:33" x14ac:dyDescent="0.15">
      <c r="A1" t="s">
        <v>45</v>
      </c>
    </row>
    <row r="7" spans="1:33" x14ac:dyDescent="0.15">
      <c r="A7" s="30"/>
    </row>
    <row r="8" spans="1:33" x14ac:dyDescent="0.15">
      <c r="A8" s="26" t="s">
        <v>81</v>
      </c>
      <c r="B8" s="3">
        <v>42795</v>
      </c>
      <c r="C8" s="3">
        <v>42796</v>
      </c>
      <c r="D8" s="3">
        <v>42797</v>
      </c>
      <c r="E8" s="3">
        <v>42798</v>
      </c>
      <c r="F8" s="3">
        <v>42799</v>
      </c>
      <c r="G8" s="3">
        <v>42800</v>
      </c>
      <c r="H8" s="3">
        <v>42801</v>
      </c>
      <c r="I8" s="3">
        <v>42802</v>
      </c>
      <c r="J8" s="3">
        <v>42803</v>
      </c>
      <c r="K8" s="3">
        <v>42804</v>
      </c>
      <c r="L8" s="3">
        <v>42805</v>
      </c>
      <c r="M8" s="3">
        <v>42806</v>
      </c>
      <c r="N8" s="3">
        <v>42807</v>
      </c>
      <c r="O8" s="3">
        <v>42808</v>
      </c>
      <c r="P8" s="41">
        <v>42809</v>
      </c>
      <c r="Q8" s="41">
        <v>42810</v>
      </c>
      <c r="R8" s="3">
        <v>42811</v>
      </c>
      <c r="S8" s="3">
        <v>42812</v>
      </c>
      <c r="T8" s="3">
        <v>42813</v>
      </c>
      <c r="U8" s="3">
        <v>42814</v>
      </c>
      <c r="V8" s="3">
        <v>42815</v>
      </c>
      <c r="W8" s="41">
        <v>42816</v>
      </c>
      <c r="X8" s="41">
        <v>42817</v>
      </c>
      <c r="Y8" s="3">
        <v>42818</v>
      </c>
      <c r="Z8" s="3">
        <v>42819</v>
      </c>
      <c r="AA8" s="3">
        <v>42820</v>
      </c>
      <c r="AB8" s="3">
        <v>42821</v>
      </c>
      <c r="AC8" s="3">
        <v>42822</v>
      </c>
      <c r="AD8" s="3">
        <v>42823</v>
      </c>
      <c r="AE8" s="3">
        <v>42824</v>
      </c>
      <c r="AF8" s="3">
        <v>42825</v>
      </c>
      <c r="AG8" t="s">
        <v>53</v>
      </c>
    </row>
    <row r="9" spans="1:33" outlineLevel="2" x14ac:dyDescent="0.15">
      <c r="P9"/>
      <c r="Q9"/>
      <c r="W9"/>
      <c r="X9"/>
    </row>
    <row r="10" spans="1:33" outlineLevel="2" x14ac:dyDescent="0.15">
      <c r="P10"/>
      <c r="Q10"/>
      <c r="W10"/>
      <c r="X10"/>
    </row>
    <row r="11" spans="1:33" outlineLevel="2" x14ac:dyDescent="0.15">
      <c r="P11"/>
      <c r="Q11"/>
      <c r="W11"/>
      <c r="X11"/>
    </row>
    <row r="12" spans="1:33" outlineLevel="2" x14ac:dyDescent="0.15">
      <c r="P12"/>
      <c r="Q12"/>
      <c r="W12"/>
      <c r="X12"/>
    </row>
    <row r="13" spans="1:33" outlineLevel="2" x14ac:dyDescent="0.15">
      <c r="P13"/>
      <c r="Q13"/>
      <c r="W13"/>
      <c r="X13"/>
    </row>
    <row r="14" spans="1:33" outlineLevel="2" x14ac:dyDescent="0.15">
      <c r="P14"/>
      <c r="Q14"/>
      <c r="W14"/>
      <c r="X14"/>
    </row>
    <row r="15" spans="1:33" outlineLevel="2" x14ac:dyDescent="0.15">
      <c r="P15"/>
      <c r="Q15"/>
      <c r="W15"/>
      <c r="X15"/>
    </row>
    <row r="16" spans="1:33" outlineLevel="2" x14ac:dyDescent="0.15">
      <c r="P16"/>
      <c r="Q16"/>
      <c r="W16"/>
      <c r="X16"/>
    </row>
    <row r="17" spans="1:24" outlineLevel="2" x14ac:dyDescent="0.15">
      <c r="P17"/>
      <c r="Q17"/>
      <c r="W17"/>
      <c r="X17"/>
    </row>
    <row r="18" spans="1:24" outlineLevel="2" x14ac:dyDescent="0.15">
      <c r="P18"/>
      <c r="Q18"/>
      <c r="W18"/>
      <c r="X18"/>
    </row>
    <row r="19" spans="1:24" outlineLevel="2" x14ac:dyDescent="0.15">
      <c r="P19"/>
      <c r="Q19"/>
      <c r="W19"/>
      <c r="X19"/>
    </row>
    <row r="20" spans="1:24" outlineLevel="2" x14ac:dyDescent="0.15">
      <c r="P20"/>
      <c r="Q20"/>
      <c r="W20"/>
      <c r="X20"/>
    </row>
    <row r="21" spans="1:24" outlineLevel="1" x14ac:dyDescent="0.15">
      <c r="A21" s="30"/>
      <c r="P21"/>
      <c r="Q21"/>
      <c r="W21"/>
      <c r="X21"/>
    </row>
    <row r="22" spans="1:24" outlineLevel="2" x14ac:dyDescent="0.15">
      <c r="P22"/>
      <c r="Q22"/>
      <c r="W22"/>
      <c r="X22"/>
    </row>
    <row r="23" spans="1:24" outlineLevel="2" x14ac:dyDescent="0.15">
      <c r="P23"/>
      <c r="Q23"/>
      <c r="W23"/>
      <c r="X23"/>
    </row>
    <row r="24" spans="1:24" outlineLevel="1" x14ac:dyDescent="0.15">
      <c r="A24" s="30"/>
      <c r="P24"/>
      <c r="Q24"/>
      <c r="W24"/>
      <c r="X24"/>
    </row>
    <row r="25" spans="1:24" outlineLevel="2" x14ac:dyDescent="0.15">
      <c r="P25"/>
      <c r="Q25"/>
      <c r="W25"/>
      <c r="X25"/>
    </row>
    <row r="26" spans="1:24" outlineLevel="1" x14ac:dyDescent="0.15">
      <c r="A26" s="30"/>
      <c r="P26"/>
      <c r="Q26"/>
      <c r="W26"/>
      <c r="X26"/>
    </row>
    <row r="27" spans="1:24" outlineLevel="2" x14ac:dyDescent="0.15">
      <c r="P27"/>
      <c r="Q27"/>
      <c r="W27"/>
      <c r="X27"/>
    </row>
    <row r="28" spans="1:24" outlineLevel="2" x14ac:dyDescent="0.15">
      <c r="P28"/>
      <c r="Q28"/>
      <c r="W28"/>
      <c r="X28"/>
    </row>
    <row r="29" spans="1:24" outlineLevel="2" x14ac:dyDescent="0.15">
      <c r="P29"/>
      <c r="Q29"/>
      <c r="W29"/>
      <c r="X29"/>
    </row>
    <row r="30" spans="1:24" outlineLevel="2" x14ac:dyDescent="0.15">
      <c r="P30"/>
      <c r="Q30"/>
      <c r="W30"/>
      <c r="X30"/>
    </row>
    <row r="31" spans="1:24" outlineLevel="2" x14ac:dyDescent="0.15">
      <c r="P31"/>
      <c r="Q31"/>
      <c r="W31"/>
      <c r="X31"/>
    </row>
    <row r="32" spans="1:24" outlineLevel="2" x14ac:dyDescent="0.15">
      <c r="P32"/>
      <c r="Q32"/>
      <c r="W32"/>
      <c r="X32"/>
    </row>
    <row r="33" spans="1:24" outlineLevel="2" x14ac:dyDescent="0.15">
      <c r="P33"/>
      <c r="Q33"/>
      <c r="W33"/>
      <c r="X33"/>
    </row>
    <row r="34" spans="1:24" outlineLevel="2" x14ac:dyDescent="0.15">
      <c r="P34"/>
      <c r="Q34"/>
      <c r="W34"/>
      <c r="X34"/>
    </row>
    <row r="35" spans="1:24" outlineLevel="2" x14ac:dyDescent="0.15">
      <c r="P35"/>
      <c r="Q35"/>
      <c r="W35"/>
      <c r="X35"/>
    </row>
    <row r="36" spans="1:24" outlineLevel="2" x14ac:dyDescent="0.15">
      <c r="P36"/>
      <c r="Q36"/>
      <c r="W36"/>
      <c r="X36"/>
    </row>
    <row r="37" spans="1:24" outlineLevel="2" x14ac:dyDescent="0.15">
      <c r="P37"/>
      <c r="Q37"/>
      <c r="W37"/>
      <c r="X37"/>
    </row>
    <row r="38" spans="1:24" outlineLevel="2" x14ac:dyDescent="0.15">
      <c r="P38"/>
      <c r="Q38"/>
      <c r="W38"/>
      <c r="X38"/>
    </row>
    <row r="39" spans="1:24" outlineLevel="2" x14ac:dyDescent="0.15">
      <c r="P39"/>
      <c r="Q39"/>
      <c r="W39"/>
      <c r="X39"/>
    </row>
    <row r="40" spans="1:24" outlineLevel="2" x14ac:dyDescent="0.15">
      <c r="P40"/>
      <c r="Q40"/>
      <c r="W40"/>
      <c r="X40"/>
    </row>
    <row r="41" spans="1:24" outlineLevel="1" x14ac:dyDescent="0.15">
      <c r="A41" s="30"/>
      <c r="P41"/>
      <c r="Q41"/>
      <c r="W41"/>
      <c r="X41"/>
    </row>
    <row r="42" spans="1:24" outlineLevel="2" x14ac:dyDescent="0.15">
      <c r="P42"/>
      <c r="Q42"/>
      <c r="W42"/>
      <c r="X42"/>
    </row>
    <row r="43" spans="1:24" outlineLevel="2" x14ac:dyDescent="0.15">
      <c r="P43"/>
      <c r="Q43"/>
      <c r="W43"/>
      <c r="X43"/>
    </row>
    <row r="44" spans="1:24" outlineLevel="2" x14ac:dyDescent="0.15">
      <c r="P44"/>
      <c r="Q44"/>
      <c r="W44"/>
      <c r="X44"/>
    </row>
    <row r="45" spans="1:24" outlineLevel="2" x14ac:dyDescent="0.15">
      <c r="P45"/>
      <c r="Q45"/>
      <c r="W45"/>
      <c r="X45"/>
    </row>
    <row r="46" spans="1:24" outlineLevel="1" x14ac:dyDescent="0.15">
      <c r="A46" s="30"/>
      <c r="P46"/>
      <c r="Q46"/>
      <c r="W46"/>
      <c r="X46"/>
    </row>
    <row r="47" spans="1:24" outlineLevel="2" x14ac:dyDescent="0.15">
      <c r="P47"/>
      <c r="Q47"/>
      <c r="W47"/>
      <c r="X47"/>
    </row>
    <row r="48" spans="1:24" outlineLevel="2" x14ac:dyDescent="0.15">
      <c r="P48"/>
      <c r="Q48"/>
      <c r="W48"/>
      <c r="X48"/>
    </row>
    <row r="49" spans="1:24" outlineLevel="2" x14ac:dyDescent="0.15">
      <c r="P49"/>
      <c r="Q49"/>
      <c r="W49"/>
      <c r="X49"/>
    </row>
    <row r="50" spans="1:24" outlineLevel="2" x14ac:dyDescent="0.15">
      <c r="P50"/>
      <c r="Q50"/>
      <c r="W50"/>
      <c r="X50"/>
    </row>
    <row r="51" spans="1:24" outlineLevel="1" x14ac:dyDescent="0.15">
      <c r="A51" s="30"/>
      <c r="P51"/>
      <c r="Q51"/>
      <c r="W51"/>
      <c r="X51"/>
    </row>
    <row r="52" spans="1:24" outlineLevel="2" x14ac:dyDescent="0.15">
      <c r="P52"/>
      <c r="Q52"/>
      <c r="W52"/>
      <c r="X52"/>
    </row>
    <row r="53" spans="1:24" outlineLevel="2" x14ac:dyDescent="0.15">
      <c r="P53"/>
      <c r="Q53"/>
      <c r="W53"/>
      <c r="X53"/>
    </row>
    <row r="54" spans="1:24" outlineLevel="2" x14ac:dyDescent="0.15">
      <c r="P54"/>
      <c r="Q54"/>
      <c r="W54"/>
      <c r="X54"/>
    </row>
    <row r="55" spans="1:24" outlineLevel="2" x14ac:dyDescent="0.15">
      <c r="P55"/>
      <c r="Q55"/>
      <c r="W55"/>
      <c r="X55"/>
    </row>
    <row r="56" spans="1:24" outlineLevel="1" x14ac:dyDescent="0.15">
      <c r="A56" s="30"/>
      <c r="P56"/>
      <c r="Q56"/>
      <c r="W56"/>
      <c r="X56"/>
    </row>
    <row r="57" spans="1:24" outlineLevel="2" x14ac:dyDescent="0.15">
      <c r="P57"/>
      <c r="Q57"/>
      <c r="W57"/>
      <c r="X57"/>
    </row>
    <row r="58" spans="1:24" outlineLevel="2" x14ac:dyDescent="0.15">
      <c r="P58"/>
      <c r="Q58"/>
      <c r="W58"/>
      <c r="X58"/>
    </row>
    <row r="59" spans="1:24" outlineLevel="2" x14ac:dyDescent="0.15"/>
    <row r="60" spans="1:24" outlineLevel="2" x14ac:dyDescent="0.15"/>
    <row r="61" spans="1:24" outlineLevel="2" x14ac:dyDescent="0.15"/>
    <row r="62" spans="1:24" outlineLevel="2" x14ac:dyDescent="0.15"/>
    <row r="63" spans="1:24" outlineLevel="2" x14ac:dyDescent="0.15"/>
    <row r="64" spans="1:24" outlineLevel="2" x14ac:dyDescent="0.15"/>
    <row r="65" spans="1:35" outlineLevel="2" x14ac:dyDescent="0.15"/>
    <row r="66" spans="1:35" outlineLevel="2" x14ac:dyDescent="0.15">
      <c r="A66" t="e">
        <f>tasks!#REF!</f>
        <v>#REF!</v>
      </c>
      <c r="B66" t="e">
        <f>tasks!#REF!</f>
        <v>#REF!</v>
      </c>
    </row>
    <row r="67" spans="1:35" outlineLevel="2" x14ac:dyDescent="0.15">
      <c r="A67" t="e">
        <f>tasks!#REF!</f>
        <v>#REF!</v>
      </c>
      <c r="B67" t="e">
        <f>tasks!#REF!</f>
        <v>#REF!</v>
      </c>
    </row>
    <row r="68" spans="1:35" outlineLevel="2" x14ac:dyDescent="0.15">
      <c r="A68" t="e">
        <f>tasks!#REF!</f>
        <v>#REF!</v>
      </c>
      <c r="B68" t="e">
        <f>tasks!#REF!</f>
        <v>#REF!</v>
      </c>
    </row>
    <row r="69" spans="1:35" outlineLevel="2" x14ac:dyDescent="0.15">
      <c r="A69" t="e">
        <f>tasks!#REF!</f>
        <v>#REF!</v>
      </c>
      <c r="B69" t="e">
        <f>tasks!#REF!</f>
        <v>#REF!</v>
      </c>
    </row>
    <row r="70" spans="1:35" outlineLevel="1" x14ac:dyDescent="0.15">
      <c r="A70" s="30" t="s">
        <v>67</v>
      </c>
      <c r="B70" t="e">
        <f t="shared" ref="B70:AF70" si="0">SUBTOTAL(9,B57:B69)</f>
        <v>#REF!</v>
      </c>
      <c r="C70">
        <f t="shared" si="0"/>
        <v>0</v>
      </c>
      <c r="D70">
        <f t="shared" si="0"/>
        <v>0</v>
      </c>
      <c r="E70">
        <f t="shared" si="0"/>
        <v>0</v>
      </c>
      <c r="F70">
        <f t="shared" si="0"/>
        <v>0</v>
      </c>
      <c r="G70">
        <f t="shared" si="0"/>
        <v>0</v>
      </c>
      <c r="H70">
        <f t="shared" si="0"/>
        <v>0</v>
      </c>
      <c r="I70">
        <f t="shared" si="0"/>
        <v>0</v>
      </c>
      <c r="J70">
        <f t="shared" si="0"/>
        <v>0</v>
      </c>
      <c r="K70">
        <f t="shared" si="0"/>
        <v>0</v>
      </c>
      <c r="L70">
        <f t="shared" si="0"/>
        <v>0</v>
      </c>
      <c r="M70">
        <f t="shared" si="0"/>
        <v>0</v>
      </c>
      <c r="N70">
        <f t="shared" si="0"/>
        <v>0</v>
      </c>
      <c r="O70">
        <f t="shared" si="0"/>
        <v>0</v>
      </c>
      <c r="P70" s="40">
        <f t="shared" si="0"/>
        <v>0</v>
      </c>
      <c r="Q70" s="40">
        <f t="shared" si="0"/>
        <v>0</v>
      </c>
      <c r="R70">
        <f t="shared" si="0"/>
        <v>0</v>
      </c>
      <c r="S70">
        <f t="shared" si="0"/>
        <v>0</v>
      </c>
      <c r="T70">
        <f t="shared" si="0"/>
        <v>0</v>
      </c>
      <c r="U70">
        <f t="shared" si="0"/>
        <v>0</v>
      </c>
      <c r="V70">
        <f t="shared" si="0"/>
        <v>0</v>
      </c>
      <c r="W70" s="40">
        <f t="shared" si="0"/>
        <v>0</v>
      </c>
      <c r="X70" s="40">
        <f t="shared" si="0"/>
        <v>0</v>
      </c>
      <c r="Y70">
        <f t="shared" si="0"/>
        <v>0</v>
      </c>
      <c r="Z70">
        <f t="shared" si="0"/>
        <v>0</v>
      </c>
      <c r="AA70">
        <f t="shared" si="0"/>
        <v>0</v>
      </c>
      <c r="AB70">
        <f t="shared" si="0"/>
        <v>0</v>
      </c>
      <c r="AC70">
        <f t="shared" si="0"/>
        <v>0</v>
      </c>
      <c r="AD70">
        <f t="shared" si="0"/>
        <v>0</v>
      </c>
      <c r="AE70">
        <f t="shared" si="0"/>
        <v>0</v>
      </c>
      <c r="AF70">
        <f t="shared" si="0"/>
        <v>0</v>
      </c>
    </row>
    <row r="71" spans="1:35" x14ac:dyDescent="0.15">
      <c r="A71" s="30" t="s">
        <v>55</v>
      </c>
      <c r="B71" t="e">
        <f t="shared" ref="B71:AF71" si="1">SUBTOTAL(9,B9:B69)</f>
        <v>#REF!</v>
      </c>
      <c r="C71">
        <f t="shared" si="1"/>
        <v>0</v>
      </c>
      <c r="D71">
        <f t="shared" si="1"/>
        <v>0</v>
      </c>
      <c r="E71">
        <f t="shared" si="1"/>
        <v>0</v>
      </c>
      <c r="F71">
        <f t="shared" si="1"/>
        <v>0</v>
      </c>
      <c r="G71">
        <f t="shared" si="1"/>
        <v>0</v>
      </c>
      <c r="H71">
        <f t="shared" si="1"/>
        <v>0</v>
      </c>
      <c r="I71">
        <f t="shared" si="1"/>
        <v>0</v>
      </c>
      <c r="J71">
        <f t="shared" si="1"/>
        <v>0</v>
      </c>
      <c r="K71">
        <f t="shared" si="1"/>
        <v>0</v>
      </c>
      <c r="L71">
        <f t="shared" si="1"/>
        <v>0</v>
      </c>
      <c r="M71">
        <f t="shared" si="1"/>
        <v>0</v>
      </c>
      <c r="N71">
        <f t="shared" si="1"/>
        <v>0</v>
      </c>
      <c r="O71">
        <f t="shared" si="1"/>
        <v>0</v>
      </c>
      <c r="P71" s="40">
        <f t="shared" si="1"/>
        <v>0</v>
      </c>
      <c r="Q71" s="40">
        <f t="shared" si="1"/>
        <v>0</v>
      </c>
      <c r="R71">
        <f t="shared" si="1"/>
        <v>0</v>
      </c>
      <c r="S71">
        <f t="shared" si="1"/>
        <v>0</v>
      </c>
      <c r="T71">
        <f t="shared" si="1"/>
        <v>0</v>
      </c>
      <c r="U71">
        <f t="shared" si="1"/>
        <v>0</v>
      </c>
      <c r="V71">
        <f t="shared" si="1"/>
        <v>0</v>
      </c>
      <c r="W71" s="40">
        <f t="shared" si="1"/>
        <v>0</v>
      </c>
      <c r="X71" s="40">
        <f t="shared" si="1"/>
        <v>0</v>
      </c>
      <c r="Y71">
        <f t="shared" si="1"/>
        <v>0</v>
      </c>
      <c r="Z71">
        <f t="shared" si="1"/>
        <v>0</v>
      </c>
      <c r="AA71">
        <f t="shared" si="1"/>
        <v>0</v>
      </c>
      <c r="AB71">
        <f t="shared" si="1"/>
        <v>0</v>
      </c>
      <c r="AC71">
        <f t="shared" si="1"/>
        <v>0</v>
      </c>
      <c r="AD71">
        <f t="shared" si="1"/>
        <v>0</v>
      </c>
      <c r="AE71">
        <f t="shared" si="1"/>
        <v>0</v>
      </c>
      <c r="AF71">
        <f t="shared" si="1"/>
        <v>0</v>
      </c>
    </row>
    <row r="73" spans="1:35" x14ac:dyDescent="0.15">
      <c r="B73" s="39" t="s">
        <v>68</v>
      </c>
      <c r="C73" s="39" t="s">
        <v>69</v>
      </c>
      <c r="D73" s="39" t="s">
        <v>56</v>
      </c>
      <c r="E73" s="39" t="s">
        <v>56</v>
      </c>
      <c r="F73" s="39" t="s">
        <v>64</v>
      </c>
      <c r="G73" s="39" t="s">
        <v>61</v>
      </c>
      <c r="H73" s="39" t="s">
        <v>70</v>
      </c>
      <c r="I73" s="39" t="s">
        <v>62</v>
      </c>
      <c r="J73" s="39" t="s">
        <v>71</v>
      </c>
      <c r="K73" s="39" t="s">
        <v>56</v>
      </c>
      <c r="L73" s="39" t="s">
        <v>56</v>
      </c>
      <c r="M73" s="39" t="s">
        <v>72</v>
      </c>
      <c r="N73" s="39" t="s">
        <v>65</v>
      </c>
      <c r="O73" s="39" t="s">
        <v>64</v>
      </c>
      <c r="P73" s="39" t="s">
        <v>62</v>
      </c>
      <c r="Q73" s="39" t="s">
        <v>73</v>
      </c>
      <c r="R73" s="39" t="s">
        <v>56</v>
      </c>
      <c r="S73" s="39" t="s">
        <v>56</v>
      </c>
      <c r="T73" s="39" t="s">
        <v>74</v>
      </c>
      <c r="U73" s="39" t="s">
        <v>75</v>
      </c>
      <c r="V73" s="39" t="s">
        <v>76</v>
      </c>
      <c r="W73" s="39" t="s">
        <v>77</v>
      </c>
      <c r="X73" s="39" t="s">
        <v>63</v>
      </c>
      <c r="Y73" s="39" t="s">
        <v>56</v>
      </c>
      <c r="Z73" s="39" t="s">
        <v>56</v>
      </c>
      <c r="AA73" s="39" t="s">
        <v>78</v>
      </c>
      <c r="AB73" s="39" t="s">
        <v>79</v>
      </c>
      <c r="AC73" s="39" t="s">
        <v>60</v>
      </c>
      <c r="AD73" s="39" t="s">
        <v>80</v>
      </c>
    </row>
    <row r="74" spans="1:35" x14ac:dyDescent="0.15">
      <c r="B74">
        <v>11</v>
      </c>
      <c r="C74">
        <v>10.5</v>
      </c>
      <c r="F74">
        <v>11</v>
      </c>
      <c r="G74">
        <v>11</v>
      </c>
      <c r="H74">
        <v>8</v>
      </c>
      <c r="I74">
        <v>11</v>
      </c>
      <c r="J74">
        <v>10.25</v>
      </c>
      <c r="M74">
        <v>10.75</v>
      </c>
      <c r="N74">
        <v>11</v>
      </c>
      <c r="O74">
        <v>11</v>
      </c>
      <c r="P74" s="40">
        <v>11</v>
      </c>
      <c r="Q74" s="40">
        <v>11</v>
      </c>
      <c r="T74">
        <v>10.75</v>
      </c>
      <c r="U74">
        <v>10.75</v>
      </c>
      <c r="V74">
        <v>10.25</v>
      </c>
      <c r="W74" s="40">
        <v>10</v>
      </c>
      <c r="X74" s="40">
        <v>11</v>
      </c>
      <c r="AA74">
        <v>9.5</v>
      </c>
      <c r="AB74">
        <v>8</v>
      </c>
      <c r="AC74">
        <v>9</v>
      </c>
      <c r="AD74">
        <v>8</v>
      </c>
    </row>
    <row r="75" spans="1:35" x14ac:dyDescent="0.15">
      <c r="B75" t="e">
        <f>B74-B71</f>
        <v>#REF!</v>
      </c>
      <c r="C75">
        <f t="shared" ref="C75:AI75" si="2">C74-C71</f>
        <v>10.5</v>
      </c>
      <c r="D75">
        <f t="shared" si="2"/>
        <v>0</v>
      </c>
      <c r="E75">
        <f t="shared" si="2"/>
        <v>0</v>
      </c>
      <c r="F75">
        <f t="shared" si="2"/>
        <v>11</v>
      </c>
      <c r="G75">
        <f t="shared" si="2"/>
        <v>11</v>
      </c>
      <c r="H75">
        <f t="shared" si="2"/>
        <v>8</v>
      </c>
      <c r="I75">
        <f t="shared" si="2"/>
        <v>11</v>
      </c>
      <c r="J75">
        <f t="shared" si="2"/>
        <v>10.25</v>
      </c>
      <c r="K75">
        <f t="shared" si="2"/>
        <v>0</v>
      </c>
      <c r="L75">
        <f t="shared" si="2"/>
        <v>0</v>
      </c>
      <c r="M75">
        <f t="shared" si="2"/>
        <v>10.75</v>
      </c>
      <c r="N75">
        <f t="shared" si="2"/>
        <v>11</v>
      </c>
      <c r="O75">
        <f t="shared" si="2"/>
        <v>11</v>
      </c>
      <c r="P75">
        <f t="shared" si="2"/>
        <v>11</v>
      </c>
      <c r="Q75">
        <f t="shared" si="2"/>
        <v>11</v>
      </c>
      <c r="R75">
        <f t="shared" si="2"/>
        <v>0</v>
      </c>
      <c r="S75">
        <f t="shared" si="2"/>
        <v>0</v>
      </c>
      <c r="T75">
        <f t="shared" si="2"/>
        <v>10.75</v>
      </c>
      <c r="U75">
        <f t="shared" si="2"/>
        <v>10.75</v>
      </c>
      <c r="V75">
        <f t="shared" si="2"/>
        <v>10.25</v>
      </c>
      <c r="W75">
        <f t="shared" si="2"/>
        <v>10</v>
      </c>
      <c r="X75">
        <f t="shared" si="2"/>
        <v>11</v>
      </c>
      <c r="Y75">
        <f t="shared" si="2"/>
        <v>0</v>
      </c>
      <c r="Z75">
        <f t="shared" si="2"/>
        <v>0</v>
      </c>
      <c r="AA75">
        <f t="shared" si="2"/>
        <v>9.5</v>
      </c>
      <c r="AB75">
        <f t="shared" si="2"/>
        <v>8</v>
      </c>
      <c r="AC75">
        <f t="shared" si="2"/>
        <v>9</v>
      </c>
      <c r="AD75">
        <f t="shared" si="2"/>
        <v>8</v>
      </c>
      <c r="AE75">
        <f t="shared" si="2"/>
        <v>0</v>
      </c>
      <c r="AF75">
        <f t="shared" si="2"/>
        <v>0</v>
      </c>
      <c r="AG75">
        <f t="shared" si="2"/>
        <v>0</v>
      </c>
      <c r="AH75">
        <f t="shared" si="2"/>
        <v>0</v>
      </c>
      <c r="AI75">
        <f t="shared" si="2"/>
        <v>0</v>
      </c>
    </row>
  </sheetData>
  <autoFilter ref="A8:AG8"/>
  <phoneticPr fontId="1"/>
  <conditionalFormatting sqref="B8:AF8">
    <cfRule type="timePeriod" dxfId="0" priority="1" timePeriod="today">
      <formula>FLOOR(B8,1)=TODAY()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tasks</vt:lpstr>
      <vt:lpstr>TODOテンプレ</vt:lpstr>
      <vt:lpstr>timesheet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Ikeda, Katsuyuki (池田 克幸)</cp:lastModifiedBy>
  <dcterms:created xsi:type="dcterms:W3CDTF">2006-09-16T00:00:00Z</dcterms:created>
  <dcterms:modified xsi:type="dcterms:W3CDTF">2017-10-16T05:39:13Z</dcterms:modified>
</cp:coreProperties>
</file>